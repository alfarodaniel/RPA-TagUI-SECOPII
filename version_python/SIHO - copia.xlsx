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4A4678F3-6220-445D-A6F9-B4EC3AE16544}" xr6:coauthVersionLast="36" xr6:coauthVersionMax="36" xr10:uidLastSave="{00000000-0000-0000-0000-000000000000}"/>
  <bookViews>
    <workbookView xWindow="240" yWindow="120" windowWidth="20115" windowHeight="7740" xr2:uid="{00000000-000D-0000-FFFF-FFFF00000000}"/>
  </bookViews>
  <sheets>
    <sheet name="contratacion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contratacion!$A$1:$P$26</definedName>
    <definedName name="a">[1]LISTAS!$A$7:$A$9</definedName>
    <definedName name="formadefacturacion">[2]LISTAS!$A$4:$A$5</definedName>
    <definedName name="HORAS.MES">#REF!</definedName>
    <definedName name="hospitales">#REF!</definedName>
    <definedName name="IPC">#REF!</definedName>
    <definedName name="MES.PROG">#REF!</definedName>
    <definedName name="MESES.PROG">#REF!</definedName>
    <definedName name="niveldeoperacion">[2]LISTAS!$A$7:$A$9</definedName>
    <definedName name="PERFIL">[3]UDC!$H$3:$H$15</definedName>
    <definedName name="perfiles">'[4]UDC(2)'!$H$3:$H$13</definedName>
    <definedName name="proyecto869">#REF!</definedName>
    <definedName name="todo">#REF!</definedName>
  </definedNames>
  <calcPr calcId="144525"/>
</workbook>
</file>

<file path=xl/sharedStrings.xml><?xml version="1.0" encoding="utf-8"?>
<sst xmlns="http://schemas.openxmlformats.org/spreadsheetml/2006/main" count="191" uniqueCount="88">
  <si>
    <t>numero_contrato</t>
  </si>
  <si>
    <t>codigo_tipo_persona</t>
  </si>
  <si>
    <t>tipo_persona</t>
  </si>
  <si>
    <t>codigo_actividad</t>
  </si>
  <si>
    <t>actividad</t>
  </si>
  <si>
    <t>codigo_perfil</t>
  </si>
  <si>
    <t>perfil</t>
  </si>
  <si>
    <t>nombres_apellidos</t>
  </si>
  <si>
    <t>numero_cedula</t>
  </si>
  <si>
    <t>valor_total_contrato</t>
  </si>
  <si>
    <t>codigo_frecuencia_pago</t>
  </si>
  <si>
    <t>frecuencia_pago</t>
  </si>
  <si>
    <t>valor_honorarios_mes</t>
  </si>
  <si>
    <t>fecha_inicio_contrato</t>
  </si>
  <si>
    <t>observación</t>
  </si>
  <si>
    <t>Otra persona Jurídica</t>
  </si>
  <si>
    <t>Servicios Profesionales</t>
  </si>
  <si>
    <t>Otros servicios profesionales área administrativa</t>
  </si>
  <si>
    <t>Mensual</t>
  </si>
  <si>
    <t>BYS 005-2025</t>
  </si>
  <si>
    <t>ENLACE INTERNACIONAL S.A.S</t>
  </si>
  <si>
    <t>CPS-0001-2025</t>
  </si>
  <si>
    <t>Personal Natural</t>
  </si>
  <si>
    <t>Enfermería Profesional</t>
  </si>
  <si>
    <t>Enfermería</t>
  </si>
  <si>
    <t>GONZALEZ RODRIGUEZ QUIMBERLIN PAOLA</t>
  </si>
  <si>
    <t>CPS-0002-2025</t>
  </si>
  <si>
    <t>Auxiliar</t>
  </si>
  <si>
    <t>Auxiliar en Enfermería</t>
  </si>
  <si>
    <t>RODRIGUEZ PEÑA DERLY JOHANA</t>
  </si>
  <si>
    <t>CPS-0003-2025</t>
  </si>
  <si>
    <t>PEREZ CORTES LEIDY KATERIN</t>
  </si>
  <si>
    <t>CPS-0004-2025</t>
  </si>
  <si>
    <t>Servicios Técnicos</t>
  </si>
  <si>
    <t>Salud Comunitaria</t>
  </si>
  <si>
    <t>RUBIANO MORENO ANA SOFIA</t>
  </si>
  <si>
    <t>CPS-0010-2025</t>
  </si>
  <si>
    <t>NIÑO GALEANO CARLOS ANDRES</t>
  </si>
  <si>
    <t>CPS-0011-2025</t>
  </si>
  <si>
    <t>MURILLO ZABALA AIDA MILENA</t>
  </si>
  <si>
    <t>CPS-0014-2025</t>
  </si>
  <si>
    <t>CASTIBLANCO RAMIREZ EMILI YURANI</t>
  </si>
  <si>
    <t>CPS-0018-2025</t>
  </si>
  <si>
    <t>JIMENEZ OJEDA ANGIE LORENA</t>
  </si>
  <si>
    <t>Medicina Especializada</t>
  </si>
  <si>
    <t>CPS-0021-2025</t>
  </si>
  <si>
    <t>CAMPOS MEJIA LAURA NATHALIA</t>
  </si>
  <si>
    <t>Otros servicios técnicos asistenciales</t>
  </si>
  <si>
    <t>CPS-0050-2025</t>
  </si>
  <si>
    <t>VARGAS HOYOS LEONARDO JAVIER</t>
  </si>
  <si>
    <t>CPS-0051-2025</t>
  </si>
  <si>
    <t>QUIJANO LOMBANA SANDRA PATRICIA</t>
  </si>
  <si>
    <t>CPS-0054-2025</t>
  </si>
  <si>
    <t>PERDOMO ORTIZ CAROLINA</t>
  </si>
  <si>
    <t>CPS-0055-2025</t>
  </si>
  <si>
    <t>GUERRERO MEDINA KAREN ASTRID</t>
  </si>
  <si>
    <t>CPS-0058-2025</t>
  </si>
  <si>
    <t>DIANA CAROLINA PEÑA RODRIGUEZ</t>
  </si>
  <si>
    <t>Psicólogo (Asistencial)</t>
  </si>
  <si>
    <t>Pediatría</t>
  </si>
  <si>
    <t>CPS-3583-2025</t>
  </si>
  <si>
    <t>MOYANO SANCHEZ JULIETH VANESA</t>
  </si>
  <si>
    <t>CPS-9097-2024</t>
  </si>
  <si>
    <t>GOMEZ ALONSO KAROL STEFANY</t>
  </si>
  <si>
    <t>Servicios Profesionales Especializados</t>
  </si>
  <si>
    <t>CPS-1517-2025</t>
  </si>
  <si>
    <t>CORREA VILLARREAL MARIA CLAUDIA</t>
  </si>
  <si>
    <t>CPS-1523-2025</t>
  </si>
  <si>
    <t>SANDOVAL DUARTE LUZ ESTELLA</t>
  </si>
  <si>
    <t>CPS-2377-2025</t>
  </si>
  <si>
    <t>CAMARGO MUÑOZ LUCIA</t>
  </si>
  <si>
    <t>Otros servicios profesionales especializados área administrativa</t>
  </si>
  <si>
    <t>RAMIREZ BARRERA MAYRA IVONNE</t>
  </si>
  <si>
    <t>Nuevo contrato</t>
  </si>
  <si>
    <t>BYS 054-2025</t>
  </si>
  <si>
    <t>PABLO ALEJANDRO CAPERA PULIDO</t>
  </si>
  <si>
    <t>BYS 157-2022</t>
  </si>
  <si>
    <t>LUIS EDUARDO CARVAJALINO SANCHEZ</t>
  </si>
  <si>
    <t>CPS-2087-2024</t>
  </si>
  <si>
    <t>CPS-2315-2025</t>
  </si>
  <si>
    <t>MONTERO DIAZ SANDRA YOLIMA</t>
  </si>
  <si>
    <t>CPS-2938-2025</t>
  </si>
  <si>
    <t>ARDILA PERDOMO ELIANA</t>
  </si>
  <si>
    <t>Actualizar solo valor</t>
  </si>
  <si>
    <t>Eliminar</t>
  </si>
  <si>
    <t>Actualizar solo fecha</t>
  </si>
  <si>
    <t>fecha_final_contrato</t>
  </si>
  <si>
    <t>Actualizar valor y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</si>
</sst>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6" borderId="0" xfId="0" applyFill="1" applyAlignment="1"/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/>
    <xf numFmtId="14" fontId="0" fillId="6" borderId="0" xfId="0" applyNumberFormat="1" applyFill="1" applyAlignment="1"/>
    <xf numFmtId="0" fontId="0" fillId="7" borderId="0" xfId="0" applyFill="1" applyAlignment="1"/>
    <xf numFmtId="14" fontId="0" fillId="7" borderId="0" xfId="0" applyNumberFormat="1" applyFill="1" applyAlignment="1"/>
  </cellXfs>
  <cellStyles count="3">
    <cellStyle name="Millares 4 12" xfId="1" xr:uid="{00000000-0005-0000-0000-000001000000}"/>
    <cellStyle name="Normal" xfId="0" builtinId="0"/>
    <cellStyle name="Normal 2" xfId="2" xr:uid="{00000000-0005-0000-0000-000003000000}"/>
  </cellStyles>
  <dxfs count="3">
    <dxf>
      <font>
        <color rgb="FFFF0000"/>
      </font>
    </dxf>
    <dxf>
      <font>
        <color theme="5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esktop\MATRIZ%20DE%20COSTOS%20PSPIC%20-%20EQUIPOS%20QUINC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5.0.62\Cpsuroccidente\Users\JCBARRAGAN\Downloads\MATRIZ%20DE%20COSTOS%20PSPI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SPIC%202023\Env&#237;o%20para%20diligenciamiento\Matriz_Costos_GSP-PSPIC_2023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37contra003\Cpsuroccidente\Users\spublicaf\Downloads\MATRIZ%20DE%20COSTOS%20PSPIC%20(8)%20Junio-Agosto%202020%20-%2014.05.20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LISTAS"/>
      <sheetName val="Analisis Honorarios 2020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Listas Desplegables"/>
    </sheetNames>
    <sheetDataSet>
      <sheetData sheetId="0" refreshError="1"/>
      <sheetData sheetId="1">
        <row r="7">
          <cell r="A7" t="str">
            <v>Distrital</v>
          </cell>
        </row>
        <row r="8">
          <cell r="A8" t="str">
            <v>Subred</v>
          </cell>
        </row>
        <row r="9">
          <cell r="A9" t="str">
            <v>Local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H3" t="str">
            <v>Profesional especializado 1 (coordinador PIC)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LISTAS"/>
      <sheetName val="Analisis Honorarios 2021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Analisis_Honorarios_2021"/>
      <sheetName val="TH_(1)"/>
      <sheetName val="TH_(2)"/>
      <sheetName val="TH_(3)"/>
      <sheetName val="Tarifas_2020"/>
      <sheetName val="Tabla_de_Costos"/>
      <sheetName val="UDC_(1)"/>
      <sheetName val="PROGRAMAS_Y_ACCIONES"/>
      <sheetName val="Analisis_Honorarios_20211"/>
      <sheetName val="TH_(1)1"/>
      <sheetName val="TH_(2)1"/>
      <sheetName val="TH_(3)1"/>
      <sheetName val="Tarifas_20201"/>
      <sheetName val="Tabla_de_Costos1"/>
      <sheetName val="UDC_(1)1"/>
      <sheetName val="PROGRAMAS_Y_ACCIONES1"/>
    </sheetNames>
    <sheetDataSet>
      <sheetData sheetId="0"/>
      <sheetData sheetId="1">
        <row r="4">
          <cell r="A4" t="str">
            <v>Por Producto</v>
          </cell>
        </row>
        <row r="5">
          <cell r="A5" t="str">
            <v>Por Cumplimiento Plan de Acción</v>
          </cell>
        </row>
        <row r="7">
          <cell r="A7" t="str">
            <v>Distrital</v>
          </cell>
        </row>
        <row r="8">
          <cell r="A8" t="str">
            <v>Subred</v>
          </cell>
        </row>
        <row r="9">
          <cell r="A9" t="str">
            <v>Local</v>
          </cell>
        </row>
      </sheetData>
      <sheetData sheetId="2">
        <row r="5">
          <cell r="B5" t="str">
            <v>Profesional Especializado 1</v>
          </cell>
        </row>
      </sheetData>
      <sheetData sheetId="3"/>
      <sheetData sheetId="4"/>
      <sheetData sheetId="5"/>
      <sheetData sheetId="6">
        <row r="5">
          <cell r="B5">
            <v>1</v>
          </cell>
        </row>
      </sheetData>
      <sheetData sheetId="7"/>
      <sheetData sheetId="8"/>
      <sheetData sheetId="9">
        <row r="3">
          <cell r="H3" t="str">
            <v>Profesional especializado 1 (coordinador PIC)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stos"/>
      <sheetName val="UDC (1)"/>
      <sheetName val="UDC"/>
      <sheetName val="URB_Productos"/>
      <sheetName val="URB_Territorialización"/>
      <sheetName val="PY-MT-ACT_URB"/>
      <sheetName val="URB_$"/>
      <sheetName val="TH_URB"/>
      <sheetName val="RURAL_Productos"/>
      <sheetName val="RURAL_Territorialización"/>
      <sheetName val="PY-MT-ACT_RURAL"/>
      <sheetName val="RURAL-$"/>
      <sheetName val="TH_RURAL"/>
      <sheetName val="Notas"/>
      <sheetName val="Listas Desplegables"/>
    </sheetNames>
    <sheetDataSet>
      <sheetData sheetId="0"/>
      <sheetData sheetId="1"/>
      <sheetData sheetId="2">
        <row r="3">
          <cell r="H3" t="str">
            <v>Profesional especializado 1 (coordinador PIC)</v>
          </cell>
        </row>
        <row r="4">
          <cell r="H4" t="str">
            <v>Profesional especializado 2 (Referentes gestión)</v>
          </cell>
        </row>
        <row r="5">
          <cell r="H5" t="str">
            <v>Profesional especializado 3 (Líder operativo)</v>
          </cell>
        </row>
        <row r="6">
          <cell r="H6" t="str">
            <v>Profesional especializado 4 (Operativo)</v>
          </cell>
        </row>
        <row r="7">
          <cell r="H7" t="str">
            <v>Profesional universitario 1 (líder)</v>
          </cell>
        </row>
        <row r="8">
          <cell r="H8" t="str">
            <v>Profesional universitario 2 (operativo)</v>
          </cell>
        </row>
        <row r="9">
          <cell r="H9" t="str">
            <v>Tecnólogo (administrativo, financiero, de sistemas, programación y bases de datos, mercadeo, salud ocupacional, alimentos)</v>
          </cell>
        </row>
        <row r="10">
          <cell r="H10" t="str">
            <v>Técnico 1 (en áreas de la salud, ciencias sociales y humanas)</v>
          </cell>
        </row>
        <row r="11">
          <cell r="H11" t="str">
            <v>Técnico 2 (en áreas administrativas, financieras, archivo, sistemas, programación y bases de datos)</v>
          </cell>
        </row>
        <row r="12">
          <cell r="H12" t="str">
            <v>Técnico 3 (Bachiller digitador)</v>
          </cell>
        </row>
        <row r="13">
          <cell r="H13" t="str">
            <v>Agente de Cambio; Gestor Comunitario; Gestor Comunitarios Población diferencial</v>
          </cell>
        </row>
        <row r="14">
          <cell r="H14" t="str">
            <v>Profesional Universitario 3 (Médico encargados de certificados de defunción en calle)</v>
          </cell>
        </row>
        <row r="15">
          <cell r="H15" t="str">
            <v>Profesional Universitario 4 (QF)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Análisis Transporte 2020"/>
      <sheetName val="LISTAS"/>
      <sheetName val="Analisis Honorarios 2020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Análisis_Transporte_2020"/>
      <sheetName val="Analisis_Honorarios_2020"/>
      <sheetName val="TH_(1)"/>
      <sheetName val="TH_(2)"/>
      <sheetName val="TH_(3)"/>
      <sheetName val="Tarifas_2020"/>
      <sheetName val="Tabla_de_Costos"/>
      <sheetName val="UDC_(1)"/>
      <sheetName val="PROGRAMAS_Y_ACCIONES"/>
      <sheetName val="Análisis_Transporte_20201"/>
      <sheetName val="Analisis_Honorarios_20201"/>
      <sheetName val="TH_(1)1"/>
      <sheetName val="TH_(2)1"/>
      <sheetName val="TH_(3)1"/>
      <sheetName val="Tarifas_20201"/>
      <sheetName val="Tabla_de_Costos1"/>
      <sheetName val="UDC_(1)1"/>
      <sheetName val="PROGRAMAS_Y_ACCION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 t="str">
            <v>Profesional especializado 1 (coordinador PIC)</v>
          </cell>
        </row>
        <row r="4">
          <cell r="H4" t="str">
            <v>Profesional especializado 2 (Referentes gestión)</v>
          </cell>
        </row>
        <row r="5">
          <cell r="H5" t="str">
            <v>Profesional especializado 3 (Líder operativo)</v>
          </cell>
        </row>
        <row r="6">
          <cell r="H6" t="str">
            <v>Profesional especializado 4 (Operativo)</v>
          </cell>
        </row>
        <row r="7">
          <cell r="H7" t="str">
            <v>Profesional universitario 1 (líder)</v>
          </cell>
        </row>
        <row r="8">
          <cell r="H8" t="str">
            <v>Profesional universitario 2 (operativo)</v>
          </cell>
        </row>
        <row r="9">
          <cell r="H9" t="str">
            <v>Tecnólogo (administrativo, financiero, de sistemas, programación y bases de datos, mercadeo, salud ocupacional, alimentos)</v>
          </cell>
        </row>
        <row r="10">
          <cell r="H10" t="str">
            <v>Técnico 1 (en áreas de la salud, ciencias sociales y humanas)</v>
          </cell>
        </row>
        <row r="11">
          <cell r="H11" t="str">
            <v>Técnico 2 (en áreas administrativas, financieras, archivo, sistemas, programación y bases de datos)</v>
          </cell>
        </row>
        <row r="12">
          <cell r="H12" t="str">
            <v>Técnico 3 (Bachiller digitador)</v>
          </cell>
        </row>
        <row r="13">
          <cell r="H13" t="str">
            <v>Agente de Cambio; Gestor Comunitario; Gestor Comunitarios Población diferencial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showGridLines="0" tabSelected="1" topLeftCell="E1" workbookViewId="0">
      <pane ySplit="1" topLeftCell="A2" activePane="bottomLeft" state="frozen"/>
      <selection pane="bottomLeft" activeCell="E17" sqref="A17:XFD21"/>
    </sheetView>
  </sheetViews>
  <sheetFormatPr baseColWidth="10" defaultColWidth="11.5703125" defaultRowHeight="15" x14ac:dyDescent="0.25"/>
  <cols>
    <col min="1" max="1" width="15.42578125" style="7" bestFit="1" customWidth="1"/>
    <col min="2" max="3" width="18.28515625" style="7" customWidth="1"/>
    <col min="4" max="4" width="14.7109375" style="7" bestFit="1" customWidth="1"/>
    <col min="5" max="5" width="13.85546875" style="7" customWidth="1"/>
    <col min="6" max="6" width="11.7109375" style="7" bestFit="1" customWidth="1"/>
    <col min="7" max="7" width="10.5703125" style="7" customWidth="1"/>
    <col min="8" max="8" width="46.28515625" style="7" bestFit="1" customWidth="1"/>
    <col min="9" max="9" width="13.7109375" style="7" bestFit="1" customWidth="1"/>
    <col min="10" max="10" width="21.28515625" style="7" customWidth="1"/>
    <col min="11" max="11" width="21.28515625" style="7" bestFit="1" customWidth="1"/>
    <col min="12" max="12" width="14.5703125" style="7" bestFit="1" customWidth="1"/>
    <col min="13" max="13" width="19.42578125" style="7" bestFit="1" customWidth="1"/>
    <col min="14" max="14" width="17.85546875" style="10" bestFit="1" customWidth="1"/>
    <col min="15" max="15" width="17.140625" style="10" customWidth="1"/>
    <col min="16" max="16" width="13.42578125" style="7" bestFit="1" customWidth="1"/>
    <col min="17" max="16384" width="11.5703125" style="7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5" t="s">
        <v>12</v>
      </c>
      <c r="N1" s="9" t="s">
        <v>13</v>
      </c>
      <c r="O1" s="9" t="s">
        <v>86</v>
      </c>
      <c r="P1" s="6" t="s">
        <v>14</v>
      </c>
    </row>
    <row r="2" spans="1:16" s="8" customFormat="1" x14ac:dyDescent="0.25">
      <c r="A2" s="8" t="s">
        <v>60</v>
      </c>
      <c r="B2" s="8">
        <v>1</v>
      </c>
      <c r="C2" s="8" t="s">
        <v>22</v>
      </c>
      <c r="D2" s="8">
        <v>5</v>
      </c>
      <c r="E2" s="8" t="s">
        <v>23</v>
      </c>
      <c r="F2" s="8">
        <v>21</v>
      </c>
      <c r="G2" s="8" t="s">
        <v>24</v>
      </c>
      <c r="H2" s="8" t="s">
        <v>61</v>
      </c>
      <c r="I2" s="8">
        <v>1032454676</v>
      </c>
      <c r="J2" s="8">
        <v>17683500</v>
      </c>
      <c r="K2" s="8">
        <v>4</v>
      </c>
      <c r="L2" s="8" t="s">
        <v>18</v>
      </c>
      <c r="M2" s="8">
        <v>4613087</v>
      </c>
      <c r="N2" s="11">
        <v>45722</v>
      </c>
      <c r="O2" s="11">
        <v>45838</v>
      </c>
      <c r="P2" s="8" t="s">
        <v>85</v>
      </c>
    </row>
    <row r="3" spans="1:16" x14ac:dyDescent="0.25">
      <c r="A3" s="7" t="s">
        <v>62</v>
      </c>
      <c r="B3" s="7">
        <v>1</v>
      </c>
      <c r="C3" s="7" t="s">
        <v>22</v>
      </c>
      <c r="D3" s="7">
        <v>14</v>
      </c>
      <c r="E3" s="7" t="s">
        <v>33</v>
      </c>
      <c r="F3" s="7">
        <v>171</v>
      </c>
      <c r="G3" s="7" t="s">
        <v>47</v>
      </c>
      <c r="H3" s="7" t="s">
        <v>63</v>
      </c>
      <c r="I3" s="7">
        <v>1007936614</v>
      </c>
      <c r="J3" s="7">
        <v>9226020</v>
      </c>
      <c r="K3" s="7">
        <v>4</v>
      </c>
      <c r="L3" s="7" t="s">
        <v>18</v>
      </c>
      <c r="M3" s="7">
        <v>1845204</v>
      </c>
      <c r="N3" s="10">
        <v>45673</v>
      </c>
      <c r="O3" s="10">
        <v>45626</v>
      </c>
      <c r="P3" s="7" t="s">
        <v>85</v>
      </c>
    </row>
    <row r="4" spans="1:16" x14ac:dyDescent="0.25">
      <c r="A4" s="7" t="s">
        <v>65</v>
      </c>
      <c r="B4" s="7">
        <v>1</v>
      </c>
      <c r="C4" s="7" t="s">
        <v>22</v>
      </c>
      <c r="D4" s="7">
        <v>6</v>
      </c>
      <c r="E4" s="7" t="s">
        <v>44</v>
      </c>
      <c r="F4" s="7">
        <v>92</v>
      </c>
      <c r="G4" s="7" t="s">
        <v>59</v>
      </c>
      <c r="H4" s="7" t="s">
        <v>66</v>
      </c>
      <c r="I4" s="7">
        <v>1140885823</v>
      </c>
      <c r="J4" s="7">
        <v>24421500</v>
      </c>
      <c r="K4" s="7">
        <v>4</v>
      </c>
      <c r="L4" s="7" t="s">
        <v>18</v>
      </c>
      <c r="M4" s="7">
        <v>8140500</v>
      </c>
      <c r="N4" s="10">
        <v>45689</v>
      </c>
      <c r="O4" s="10">
        <v>45838</v>
      </c>
      <c r="P4" s="7" t="s">
        <v>85</v>
      </c>
    </row>
    <row r="5" spans="1:16" x14ac:dyDescent="0.25">
      <c r="A5" s="7" t="s">
        <v>67</v>
      </c>
      <c r="B5" s="7">
        <v>1</v>
      </c>
      <c r="C5" s="7" t="s">
        <v>22</v>
      </c>
      <c r="D5" s="7">
        <v>6</v>
      </c>
      <c r="E5" s="7" t="s">
        <v>44</v>
      </c>
      <c r="F5" s="7">
        <v>92</v>
      </c>
      <c r="G5" s="7" t="s">
        <v>59</v>
      </c>
      <c r="H5" s="7" t="s">
        <v>68</v>
      </c>
      <c r="I5" s="7">
        <v>1085289378</v>
      </c>
      <c r="J5" s="7">
        <v>50471100</v>
      </c>
      <c r="K5" s="7">
        <v>4</v>
      </c>
      <c r="L5" s="7" t="s">
        <v>18</v>
      </c>
      <c r="M5" s="7">
        <v>16823700</v>
      </c>
      <c r="N5" s="10">
        <v>45689</v>
      </c>
      <c r="O5" s="10">
        <v>45869</v>
      </c>
      <c r="P5" s="7" t="s">
        <v>85</v>
      </c>
    </row>
    <row r="6" spans="1:16" x14ac:dyDescent="0.25">
      <c r="A6" s="7" t="s">
        <v>69</v>
      </c>
      <c r="B6" s="7">
        <v>1</v>
      </c>
      <c r="C6" s="7" t="s">
        <v>22</v>
      </c>
      <c r="D6" s="7">
        <v>2</v>
      </c>
      <c r="E6" s="7" t="s">
        <v>27</v>
      </c>
      <c r="F6" s="7">
        <v>9</v>
      </c>
      <c r="G6" s="7" t="s">
        <v>28</v>
      </c>
      <c r="H6" s="7" t="s">
        <v>70</v>
      </c>
      <c r="I6" s="7">
        <v>52819821</v>
      </c>
      <c r="J6" s="7">
        <v>6094476</v>
      </c>
      <c r="K6" s="7">
        <v>4</v>
      </c>
      <c r="L6" s="7" t="s">
        <v>18</v>
      </c>
      <c r="M6" s="7">
        <v>2031492</v>
      </c>
      <c r="N6" s="10">
        <v>45689</v>
      </c>
      <c r="O6" s="10">
        <v>45838</v>
      </c>
      <c r="P6" s="7" t="s">
        <v>85</v>
      </c>
    </row>
    <row r="7" spans="1:16" s="8" customFormat="1" x14ac:dyDescent="0.25">
      <c r="A7" s="8" t="s">
        <v>36</v>
      </c>
      <c r="B7" s="8">
        <v>1</v>
      </c>
      <c r="C7" s="8" t="s">
        <v>22</v>
      </c>
      <c r="D7" s="8">
        <v>2</v>
      </c>
      <c r="E7" s="8" t="s">
        <v>27</v>
      </c>
      <c r="F7" s="8">
        <v>9</v>
      </c>
      <c r="G7" s="8" t="s">
        <v>28</v>
      </c>
      <c r="H7" s="8" t="s">
        <v>37</v>
      </c>
      <c r="I7" s="8">
        <v>80054435</v>
      </c>
      <c r="J7" s="8">
        <v>2699632</v>
      </c>
      <c r="K7" s="8">
        <v>4</v>
      </c>
      <c r="L7" s="8" t="s">
        <v>18</v>
      </c>
      <c r="M7" s="8">
        <v>2558988</v>
      </c>
      <c r="N7" s="11">
        <v>45666</v>
      </c>
      <c r="O7" s="11">
        <v>45716</v>
      </c>
      <c r="P7" s="8" t="s">
        <v>83</v>
      </c>
    </row>
    <row r="8" spans="1:16" x14ac:dyDescent="0.25">
      <c r="A8" s="7" t="s">
        <v>38</v>
      </c>
      <c r="B8" s="7">
        <v>1</v>
      </c>
      <c r="C8" s="7" t="s">
        <v>22</v>
      </c>
      <c r="D8" s="7">
        <v>12</v>
      </c>
      <c r="E8" s="7" t="s">
        <v>16</v>
      </c>
      <c r="F8" s="7">
        <v>149</v>
      </c>
      <c r="G8" s="7" t="s">
        <v>17</v>
      </c>
      <c r="H8" s="7" t="s">
        <v>39</v>
      </c>
      <c r="I8" s="7">
        <v>52118130</v>
      </c>
      <c r="J8" s="7">
        <v>4580175</v>
      </c>
      <c r="K8" s="7">
        <v>4</v>
      </c>
      <c r="L8" s="7" t="s">
        <v>18</v>
      </c>
      <c r="M8" s="7">
        <v>6870263</v>
      </c>
      <c r="N8" s="10">
        <v>45666</v>
      </c>
      <c r="O8" s="10">
        <v>45688</v>
      </c>
      <c r="P8" s="7" t="s">
        <v>83</v>
      </c>
    </row>
    <row r="9" spans="1:16" x14ac:dyDescent="0.25">
      <c r="A9" s="7" t="s">
        <v>40</v>
      </c>
      <c r="B9" s="7">
        <v>1</v>
      </c>
      <c r="C9" s="7" t="s">
        <v>22</v>
      </c>
      <c r="D9" s="7">
        <v>2</v>
      </c>
      <c r="E9" s="7" t="s">
        <v>27</v>
      </c>
      <c r="F9" s="7">
        <v>9</v>
      </c>
      <c r="G9" s="7" t="s">
        <v>28</v>
      </c>
      <c r="H9" s="7" t="s">
        <v>41</v>
      </c>
      <c r="I9" s="7">
        <v>53053223</v>
      </c>
      <c r="J9" s="7">
        <v>1345275</v>
      </c>
      <c r="K9" s="7">
        <v>4</v>
      </c>
      <c r="L9" s="7" t="s">
        <v>18</v>
      </c>
      <c r="M9" s="7">
        <v>1853490</v>
      </c>
      <c r="N9" s="10">
        <v>45666</v>
      </c>
      <c r="O9" s="10">
        <v>45716</v>
      </c>
      <c r="P9" s="7" t="s">
        <v>83</v>
      </c>
    </row>
    <row r="10" spans="1:16" x14ac:dyDescent="0.25">
      <c r="A10" s="7" t="s">
        <v>42</v>
      </c>
      <c r="B10" s="7">
        <v>1</v>
      </c>
      <c r="C10" s="7" t="s">
        <v>22</v>
      </c>
      <c r="D10" s="7">
        <v>5</v>
      </c>
      <c r="E10" s="7" t="s">
        <v>23</v>
      </c>
      <c r="F10" s="7">
        <v>21</v>
      </c>
      <c r="G10" s="7" t="s">
        <v>24</v>
      </c>
      <c r="H10" s="7" t="s">
        <v>43</v>
      </c>
      <c r="I10" s="7">
        <v>1019110158</v>
      </c>
      <c r="J10" s="7">
        <v>601704</v>
      </c>
      <c r="K10" s="7">
        <v>4</v>
      </c>
      <c r="L10" s="7" t="s">
        <v>18</v>
      </c>
      <c r="M10" s="7">
        <v>4613087</v>
      </c>
      <c r="N10" s="10">
        <v>45666</v>
      </c>
      <c r="O10" s="10">
        <v>45688</v>
      </c>
      <c r="P10" s="7" t="s">
        <v>83</v>
      </c>
    </row>
    <row r="11" spans="1:16" x14ac:dyDescent="0.25">
      <c r="A11" s="7" t="s">
        <v>45</v>
      </c>
      <c r="B11" s="7">
        <v>1</v>
      </c>
      <c r="C11" s="7" t="s">
        <v>22</v>
      </c>
      <c r="D11" s="7">
        <v>5</v>
      </c>
      <c r="E11" s="7" t="s">
        <v>23</v>
      </c>
      <c r="F11" s="7">
        <v>21</v>
      </c>
      <c r="G11" s="7" t="s">
        <v>24</v>
      </c>
      <c r="H11" s="7" t="s">
        <v>46</v>
      </c>
      <c r="I11" s="7">
        <v>1020787148</v>
      </c>
      <c r="J11" s="7">
        <v>4992120</v>
      </c>
      <c r="K11" s="7">
        <v>4</v>
      </c>
      <c r="L11" s="7" t="s">
        <v>18</v>
      </c>
      <c r="M11" s="7">
        <v>3906000</v>
      </c>
      <c r="N11" s="10">
        <v>45666</v>
      </c>
      <c r="O11" s="10">
        <v>45747</v>
      </c>
      <c r="P11" s="7" t="s">
        <v>83</v>
      </c>
    </row>
    <row r="12" spans="1:16" s="12" customFormat="1" x14ac:dyDescent="0.25">
      <c r="A12" s="12" t="s">
        <v>19</v>
      </c>
      <c r="B12" s="12">
        <v>14</v>
      </c>
      <c r="C12" s="12" t="s">
        <v>15</v>
      </c>
      <c r="D12" s="12">
        <v>12</v>
      </c>
      <c r="E12" s="12" t="s">
        <v>16</v>
      </c>
      <c r="F12" s="12">
        <v>149</v>
      </c>
      <c r="G12" s="12" t="s">
        <v>17</v>
      </c>
      <c r="H12" s="12" t="s">
        <v>20</v>
      </c>
      <c r="I12" s="12">
        <v>900159848</v>
      </c>
      <c r="J12" s="12">
        <v>599293050</v>
      </c>
      <c r="K12" s="12">
        <v>4</v>
      </c>
      <c r="L12" s="12" t="s">
        <v>18</v>
      </c>
      <c r="M12" s="12">
        <v>0</v>
      </c>
      <c r="N12" s="13">
        <v>45723</v>
      </c>
      <c r="O12" s="13">
        <v>45875</v>
      </c>
      <c r="P12" s="12" t="s">
        <v>87</v>
      </c>
    </row>
    <row r="13" spans="1:16" s="8" customFormat="1" x14ac:dyDescent="0.25">
      <c r="A13" s="8" t="s">
        <v>21</v>
      </c>
      <c r="B13" s="8">
        <v>1</v>
      </c>
      <c r="C13" s="8" t="s">
        <v>22</v>
      </c>
      <c r="D13" s="8">
        <v>5</v>
      </c>
      <c r="E13" s="8" t="s">
        <v>23</v>
      </c>
      <c r="F13" s="8">
        <v>21</v>
      </c>
      <c r="G13" s="8" t="s">
        <v>24</v>
      </c>
      <c r="H13" s="8" t="s">
        <v>25</v>
      </c>
      <c r="I13" s="8">
        <v>1032424985</v>
      </c>
      <c r="J13" s="8">
        <v>23641766</v>
      </c>
      <c r="K13" s="8">
        <v>4</v>
      </c>
      <c r="L13" s="8" t="s">
        <v>18</v>
      </c>
      <c r="M13" s="8">
        <v>3998070</v>
      </c>
      <c r="N13" s="11">
        <v>45666</v>
      </c>
      <c r="O13" s="11">
        <v>45861</v>
      </c>
      <c r="P13" s="8" t="s">
        <v>87</v>
      </c>
    </row>
    <row r="14" spans="1:16" x14ac:dyDescent="0.25">
      <c r="A14" s="7" t="s">
        <v>26</v>
      </c>
      <c r="B14" s="7">
        <v>1</v>
      </c>
      <c r="C14" s="7" t="s">
        <v>22</v>
      </c>
      <c r="D14" s="7">
        <v>2</v>
      </c>
      <c r="E14" s="7" t="s">
        <v>27</v>
      </c>
      <c r="F14" s="7">
        <v>9</v>
      </c>
      <c r="G14" s="7" t="s">
        <v>28</v>
      </c>
      <c r="H14" s="7" t="s">
        <v>29</v>
      </c>
      <c r="I14" s="7">
        <v>52793060</v>
      </c>
      <c r="J14" s="7">
        <v>17757552</v>
      </c>
      <c r="K14" s="7">
        <v>4</v>
      </c>
      <c r="L14" s="7" t="s">
        <v>18</v>
      </c>
      <c r="M14" s="7">
        <v>2460374</v>
      </c>
      <c r="N14" s="10">
        <v>45666</v>
      </c>
      <c r="O14" s="10">
        <v>45869</v>
      </c>
      <c r="P14" s="7" t="s">
        <v>87</v>
      </c>
    </row>
    <row r="15" spans="1:16" x14ac:dyDescent="0.25">
      <c r="A15" s="7" t="s">
        <v>30</v>
      </c>
      <c r="B15" s="7">
        <v>1</v>
      </c>
      <c r="C15" s="7" t="s">
        <v>22</v>
      </c>
      <c r="D15" s="7">
        <v>2</v>
      </c>
      <c r="E15" s="7" t="s">
        <v>27</v>
      </c>
      <c r="F15" s="7">
        <v>9</v>
      </c>
      <c r="G15" s="7" t="s">
        <v>28</v>
      </c>
      <c r="H15" s="7" t="s">
        <v>31</v>
      </c>
      <c r="I15" s="7">
        <v>1033789700</v>
      </c>
      <c r="J15" s="7">
        <v>1952312</v>
      </c>
      <c r="K15" s="7">
        <v>4</v>
      </c>
      <c r="L15" s="7" t="s">
        <v>18</v>
      </c>
      <c r="M15" s="7">
        <v>2460374</v>
      </c>
      <c r="N15" s="10">
        <v>45666</v>
      </c>
      <c r="O15" s="10">
        <v>45869</v>
      </c>
      <c r="P15" s="7" t="s">
        <v>87</v>
      </c>
    </row>
    <row r="16" spans="1:16" x14ac:dyDescent="0.25">
      <c r="A16" s="7" t="s">
        <v>32</v>
      </c>
      <c r="B16" s="7">
        <v>1</v>
      </c>
      <c r="C16" s="7" t="s">
        <v>22</v>
      </c>
      <c r="D16" s="7">
        <v>14</v>
      </c>
      <c r="E16" s="7" t="s">
        <v>33</v>
      </c>
      <c r="F16" s="7">
        <v>168</v>
      </c>
      <c r="G16" s="7" t="s">
        <v>34</v>
      </c>
      <c r="H16" s="7" t="s">
        <v>35</v>
      </c>
      <c r="I16" s="7">
        <v>51812340</v>
      </c>
      <c r="J16" s="7">
        <v>3526667</v>
      </c>
      <c r="K16" s="7">
        <v>4</v>
      </c>
      <c r="L16" s="7" t="s">
        <v>18</v>
      </c>
      <c r="M16" s="7">
        <v>1537696</v>
      </c>
      <c r="N16" s="10">
        <v>45666</v>
      </c>
      <c r="O16" s="10">
        <v>45747</v>
      </c>
      <c r="P16" s="7" t="s">
        <v>87</v>
      </c>
    </row>
    <row r="17" spans="1:16" s="12" customFormat="1" x14ac:dyDescent="0.25">
      <c r="A17" s="12" t="s">
        <v>48</v>
      </c>
      <c r="B17" s="12">
        <v>1</v>
      </c>
      <c r="C17" s="12" t="s">
        <v>22</v>
      </c>
      <c r="D17" s="12">
        <v>12</v>
      </c>
      <c r="E17" s="12" t="s">
        <v>16</v>
      </c>
      <c r="F17" s="12">
        <v>149</v>
      </c>
      <c r="G17" s="12" t="s">
        <v>17</v>
      </c>
      <c r="H17" s="12" t="s">
        <v>49</v>
      </c>
      <c r="I17" s="12">
        <v>1016047257</v>
      </c>
      <c r="J17" s="12">
        <v>0</v>
      </c>
      <c r="K17" s="12">
        <v>4</v>
      </c>
      <c r="L17" s="12" t="s">
        <v>18</v>
      </c>
      <c r="M17" s="12">
        <v>3684660</v>
      </c>
      <c r="N17" s="13">
        <v>45679</v>
      </c>
      <c r="O17" s="13">
        <v>45716</v>
      </c>
      <c r="P17" s="12" t="s">
        <v>84</v>
      </c>
    </row>
    <row r="18" spans="1:16" s="12" customFormat="1" x14ac:dyDescent="0.25">
      <c r="A18" s="12" t="s">
        <v>50</v>
      </c>
      <c r="B18" s="12">
        <v>1</v>
      </c>
      <c r="C18" s="12" t="s">
        <v>22</v>
      </c>
      <c r="D18" s="12">
        <v>2</v>
      </c>
      <c r="E18" s="12" t="s">
        <v>27</v>
      </c>
      <c r="F18" s="12">
        <v>9</v>
      </c>
      <c r="G18" s="12" t="s">
        <v>28</v>
      </c>
      <c r="H18" s="12" t="s">
        <v>51</v>
      </c>
      <c r="I18" s="12">
        <v>52274606</v>
      </c>
      <c r="J18" s="12">
        <v>0</v>
      </c>
      <c r="K18" s="12">
        <v>4</v>
      </c>
      <c r="L18" s="12" t="s">
        <v>18</v>
      </c>
      <c r="M18" s="12">
        <v>2460374</v>
      </c>
      <c r="N18" s="13">
        <v>45677</v>
      </c>
      <c r="O18" s="13">
        <v>45756</v>
      </c>
      <c r="P18" s="12" t="s">
        <v>84</v>
      </c>
    </row>
    <row r="19" spans="1:16" s="12" customFormat="1" x14ac:dyDescent="0.25">
      <c r="A19" s="12" t="s">
        <v>52</v>
      </c>
      <c r="B19" s="12">
        <v>1</v>
      </c>
      <c r="C19" s="12" t="s">
        <v>22</v>
      </c>
      <c r="D19" s="12">
        <v>2</v>
      </c>
      <c r="E19" s="12" t="s">
        <v>27</v>
      </c>
      <c r="F19" s="12">
        <v>9</v>
      </c>
      <c r="G19" s="12" t="s">
        <v>28</v>
      </c>
      <c r="H19" s="12" t="s">
        <v>53</v>
      </c>
      <c r="I19" s="12">
        <v>1117486725</v>
      </c>
      <c r="J19" s="12">
        <v>0</v>
      </c>
      <c r="K19" s="12">
        <v>4</v>
      </c>
      <c r="L19" s="12" t="s">
        <v>18</v>
      </c>
      <c r="M19" s="12">
        <v>2460374</v>
      </c>
      <c r="N19" s="13">
        <v>45677</v>
      </c>
      <c r="O19" s="13">
        <v>45756</v>
      </c>
      <c r="P19" s="12" t="s">
        <v>84</v>
      </c>
    </row>
    <row r="20" spans="1:16" s="12" customFormat="1" x14ac:dyDescent="0.25">
      <c r="A20" s="12" t="s">
        <v>54</v>
      </c>
      <c r="B20" s="12">
        <v>1</v>
      </c>
      <c r="C20" s="12" t="s">
        <v>22</v>
      </c>
      <c r="D20" s="12">
        <v>2</v>
      </c>
      <c r="E20" s="12" t="s">
        <v>27</v>
      </c>
      <c r="F20" s="12">
        <v>9</v>
      </c>
      <c r="G20" s="12" t="s">
        <v>28</v>
      </c>
      <c r="H20" s="12" t="s">
        <v>55</v>
      </c>
      <c r="I20" s="12">
        <v>1013670104</v>
      </c>
      <c r="J20" s="12">
        <v>0</v>
      </c>
      <c r="K20" s="12">
        <v>4</v>
      </c>
      <c r="L20" s="12" t="s">
        <v>18</v>
      </c>
      <c r="M20" s="12">
        <v>2460374</v>
      </c>
      <c r="N20" s="13">
        <v>45678</v>
      </c>
      <c r="O20" s="13">
        <v>45756</v>
      </c>
      <c r="P20" s="12" t="s">
        <v>84</v>
      </c>
    </row>
    <row r="21" spans="1:16" s="12" customFormat="1" x14ac:dyDescent="0.25">
      <c r="A21" s="12" t="s">
        <v>56</v>
      </c>
      <c r="B21" s="12">
        <v>1</v>
      </c>
      <c r="C21" s="12" t="s">
        <v>22</v>
      </c>
      <c r="D21" s="12">
        <v>2</v>
      </c>
      <c r="E21" s="12" t="s">
        <v>27</v>
      </c>
      <c r="F21" s="12">
        <v>9</v>
      </c>
      <c r="G21" s="12" t="s">
        <v>28</v>
      </c>
      <c r="H21" s="12" t="s">
        <v>57</v>
      </c>
      <c r="I21" s="12">
        <v>1014250307</v>
      </c>
      <c r="J21" s="12">
        <v>0</v>
      </c>
      <c r="K21" s="12">
        <v>4</v>
      </c>
      <c r="L21" s="12" t="s">
        <v>18</v>
      </c>
      <c r="M21" s="12">
        <v>2460374</v>
      </c>
      <c r="N21" s="13">
        <v>45678</v>
      </c>
      <c r="O21" s="13">
        <v>45756</v>
      </c>
      <c r="P21" s="12" t="s">
        <v>84</v>
      </c>
    </row>
    <row r="22" spans="1:16" x14ac:dyDescent="0.25">
      <c r="A22" s="8" t="s">
        <v>74</v>
      </c>
      <c r="B22" s="7">
        <v>14</v>
      </c>
      <c r="C22" s="7" t="s">
        <v>15</v>
      </c>
      <c r="D22" s="7">
        <v>12</v>
      </c>
      <c r="E22" s="7" t="s">
        <v>16</v>
      </c>
      <c r="F22" s="7">
        <v>149</v>
      </c>
      <c r="G22" s="7" t="s">
        <v>17</v>
      </c>
      <c r="H22" s="7" t="s">
        <v>75</v>
      </c>
      <c r="I22" s="7">
        <v>79923124</v>
      </c>
      <c r="J22" s="7">
        <v>3600000</v>
      </c>
      <c r="K22" s="7">
        <v>4</v>
      </c>
      <c r="L22" s="7" t="s">
        <v>18</v>
      </c>
      <c r="M22" s="7">
        <v>0</v>
      </c>
      <c r="N22" s="10">
        <v>45818</v>
      </c>
      <c r="O22" s="10">
        <v>45878</v>
      </c>
      <c r="P22" s="7" t="s">
        <v>73</v>
      </c>
    </row>
    <row r="23" spans="1:16" x14ac:dyDescent="0.25">
      <c r="A23" s="8" t="s">
        <v>76</v>
      </c>
      <c r="B23" s="7">
        <v>14</v>
      </c>
      <c r="C23" s="7" t="s">
        <v>15</v>
      </c>
      <c r="D23" s="7">
        <v>12</v>
      </c>
      <c r="E23" s="7" t="s">
        <v>16</v>
      </c>
      <c r="F23" s="7">
        <v>149</v>
      </c>
      <c r="G23" s="7" t="s">
        <v>17</v>
      </c>
      <c r="H23" s="7" t="s">
        <v>77</v>
      </c>
      <c r="I23" s="7">
        <v>192144642</v>
      </c>
      <c r="J23" s="7">
        <v>3674126</v>
      </c>
      <c r="K23" s="7">
        <v>4</v>
      </c>
      <c r="L23" s="7" t="s">
        <v>18</v>
      </c>
      <c r="M23" s="7">
        <v>0</v>
      </c>
      <c r="N23" s="10">
        <v>45817</v>
      </c>
      <c r="O23" s="10">
        <v>45877</v>
      </c>
      <c r="P23" s="7" t="s">
        <v>73</v>
      </c>
    </row>
    <row r="24" spans="1:16" x14ac:dyDescent="0.25">
      <c r="A24" s="8" t="s">
        <v>78</v>
      </c>
      <c r="B24" s="7">
        <v>1</v>
      </c>
      <c r="C24" s="7" t="s">
        <v>22</v>
      </c>
      <c r="D24" s="7">
        <v>6</v>
      </c>
      <c r="E24" s="7" t="s">
        <v>44</v>
      </c>
      <c r="F24" s="7">
        <v>92</v>
      </c>
      <c r="G24" s="7" t="s">
        <v>59</v>
      </c>
      <c r="H24" s="7" t="s">
        <v>72</v>
      </c>
      <c r="I24" s="7">
        <v>1010172716</v>
      </c>
      <c r="J24" s="7">
        <v>6331500</v>
      </c>
      <c r="K24" s="7">
        <v>4</v>
      </c>
      <c r="L24" s="7" t="s">
        <v>18</v>
      </c>
      <c r="M24" s="7">
        <v>6018530</v>
      </c>
      <c r="N24" s="10">
        <v>45658</v>
      </c>
      <c r="O24" s="10">
        <v>45838</v>
      </c>
      <c r="P24" s="7" t="s">
        <v>73</v>
      </c>
    </row>
    <row r="25" spans="1:16" x14ac:dyDescent="0.25">
      <c r="A25" s="8" t="s">
        <v>79</v>
      </c>
      <c r="B25" s="7">
        <v>1</v>
      </c>
      <c r="C25" s="7" t="s">
        <v>22</v>
      </c>
      <c r="D25" s="7">
        <v>12</v>
      </c>
      <c r="E25" s="7" t="s">
        <v>16</v>
      </c>
      <c r="F25" s="7">
        <v>140</v>
      </c>
      <c r="G25" s="7" t="s">
        <v>58</v>
      </c>
      <c r="H25" s="7" t="s">
        <v>80</v>
      </c>
      <c r="I25" s="7">
        <v>1106890192</v>
      </c>
      <c r="J25" s="7">
        <v>10893834</v>
      </c>
      <c r="K25" s="7">
        <v>4</v>
      </c>
      <c r="L25" s="7" t="s">
        <v>18</v>
      </c>
      <c r="M25" s="7">
        <v>3631278</v>
      </c>
      <c r="N25" s="10">
        <v>45689</v>
      </c>
      <c r="O25" s="10">
        <v>45777</v>
      </c>
      <c r="P25" s="7" t="s">
        <v>73</v>
      </c>
    </row>
    <row r="26" spans="1:16" x14ac:dyDescent="0.25">
      <c r="A26" s="8" t="s">
        <v>81</v>
      </c>
      <c r="B26" s="7">
        <v>1</v>
      </c>
      <c r="C26" s="7" t="s">
        <v>22</v>
      </c>
      <c r="D26" s="7">
        <v>13</v>
      </c>
      <c r="E26" s="7" t="s">
        <v>64</v>
      </c>
      <c r="F26" s="7">
        <v>156</v>
      </c>
      <c r="G26" s="7" t="s">
        <v>71</v>
      </c>
      <c r="H26" s="7" t="s">
        <v>82</v>
      </c>
      <c r="I26" s="7">
        <v>39584219</v>
      </c>
      <c r="J26" s="7">
        <v>7227517</v>
      </c>
      <c r="K26" s="7">
        <v>4</v>
      </c>
      <c r="L26" s="7" t="s">
        <v>18</v>
      </c>
      <c r="M26" s="7">
        <v>7227517</v>
      </c>
      <c r="N26" s="10">
        <v>45689</v>
      </c>
      <c r="O26" s="10">
        <v>45808</v>
      </c>
      <c r="P26" s="7" t="s">
        <v>73</v>
      </c>
    </row>
  </sheetData>
  <conditionalFormatting sqref="A1">
    <cfRule type="duplicateValues" dxfId="2" priority="2"/>
  </conditionalFormatting>
  <conditionalFormatting sqref="A1">
    <cfRule type="duplicateValues" dxfId="1" priority="3"/>
  </conditionalFormatting>
  <conditionalFormatting sqref="A32:A1048576 A1:A26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Daniel Alfaro Rojas</cp:lastModifiedBy>
  <dcterms:created xsi:type="dcterms:W3CDTF">2025-07-29T23:21:24Z</dcterms:created>
  <dcterms:modified xsi:type="dcterms:W3CDTF">2025-08-11T15:18:21Z</dcterms:modified>
</cp:coreProperties>
</file>