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Mis Documentos\trabajos\contratacion\robots\RPA-TagUI-SECOPII\version_python\"/>
    </mc:Choice>
  </mc:AlternateContent>
  <xr:revisionPtr revIDLastSave="0" documentId="13_ncr:1_{C45C5AC7-55DF-4F3D-89C9-6C8724929CCD}" xr6:coauthVersionLast="36" xr6:coauthVersionMax="36" xr10:uidLastSave="{00000000-0000-0000-0000-000000000000}"/>
  <bookViews>
    <workbookView xWindow="0" yWindow="0" windowWidth="28800" windowHeight="11925" xr2:uid="{405E7BBE-5815-4A4C-B110-4CC7F0A79603}"/>
  </bookViews>
  <sheets>
    <sheet name="Hoja1" sheetId="1" r:id="rId1"/>
  </sheets>
  <definedNames>
    <definedName name="_xlnm._FilterDatabase" localSheetId="0" hidden="1">Hoja1!$A$1:$R$7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" i="1" l="1"/>
  <c r="S7" i="1"/>
  <c r="S4" i="1"/>
  <c r="S5" i="1"/>
  <c r="S3" i="1"/>
  <c r="S2" i="1"/>
</calcChain>
</file>

<file path=xl/sharedStrings.xml><?xml version="1.0" encoding="utf-8"?>
<sst xmlns="http://schemas.openxmlformats.org/spreadsheetml/2006/main" count="103" uniqueCount="56">
  <si>
    <t>IdCert</t>
  </si>
  <si>
    <t>MesCert</t>
  </si>
  <si>
    <t>NombreCompleto</t>
  </si>
  <si>
    <t>NumDocumento</t>
  </si>
  <si>
    <t>Objeto</t>
  </si>
  <si>
    <t>Cargo</t>
  </si>
  <si>
    <t>NumContrato</t>
  </si>
  <si>
    <t>CertificadoMes</t>
  </si>
  <si>
    <t>Supervisor</t>
  </si>
  <si>
    <t>NombreCompleto1</t>
  </si>
  <si>
    <t>Rubro</t>
  </si>
  <si>
    <t>CodigoRubro</t>
  </si>
  <si>
    <t>Pensionado</t>
  </si>
  <si>
    <t>Observacion</t>
  </si>
  <si>
    <t>Unidad De Servicios De Salud</t>
  </si>
  <si>
    <t>Servicio - Centro de Costo</t>
  </si>
  <si>
    <t/>
  </si>
  <si>
    <t>Contratacion Servicios Asistenciales Generales</t>
  </si>
  <si>
    <t>4245020905</t>
  </si>
  <si>
    <t>NO</t>
  </si>
  <si>
    <t>BUITRAGO PERDOMO MARTHA CATALINA</t>
  </si>
  <si>
    <t>MEDICO ESPECIALISTA EN CIRUGIA PLASTICA</t>
  </si>
  <si>
    <t>8066-2024</t>
  </si>
  <si>
    <t>SANDOVAL CASTRO ANDREA</t>
  </si>
  <si>
    <t>190 HORAS 3.755.952 VALOR DE EVENTOS CERTIFICADO SIMÓN BOLÍVAR AC</t>
  </si>
  <si>
    <t>Simón Bolívar - HSB</t>
  </si>
  <si>
    <t>PLÁSTICA, ESTÉTICA Y RECONSTRUCTIVA - A27</t>
  </si>
  <si>
    <t>https://drive.google.com/open?id=1xt0z8QFjwvtw8FZjnMWwX3eBhK6kg2-y</t>
  </si>
  <si>
    <t>https://drive.google.com/open?id=1cLcqdML94qt-8X8dKOnN9waEm1ulrtsk</t>
  </si>
  <si>
    <t>SANTAMARIA CORDOBA NATALIA</t>
  </si>
  <si>
    <t>8067-2024</t>
  </si>
  <si>
    <t xml:space="preserve">132 HORAS 8.219.700 VALOR DE EVENTOS CERTIFICADO SIMÓN BOLÍVAR AC </t>
  </si>
  <si>
    <t>https://drive.google.com/open?id=1-2PLMH1zvxhXLcG8s3lE3tN7G5iyllX9</t>
  </si>
  <si>
    <t>https://drive.google.com/open?id=1aqi_U1z_MSpCmXmfqZdP-8x6nDKm8BO4</t>
  </si>
  <si>
    <t>Engativá Calle 80 - ENG</t>
  </si>
  <si>
    <t>AUXILIAR DE ENFERMERIA - HOSPITALIZACION Y/O URGENCIAS</t>
  </si>
  <si>
    <t>SOTELO VERDUGO ELIANA CRISTINA</t>
  </si>
  <si>
    <t>Centro De Servicios Especializado - CES</t>
  </si>
  <si>
    <t>RODRIGUEZ GONZALES ANDREA DEL PILAR</t>
  </si>
  <si>
    <t>MEDICO ESPECIALISTA EN GINECOLOGIA - MATERNO PERINATAL</t>
  </si>
  <si>
    <t>0494-2024</t>
  </si>
  <si>
    <t>GINECOLOGÍA Y OBSTETRICIA - I03</t>
  </si>
  <si>
    <t>https://drive.google.com/open?id=1oRt5aWGZCnBDkDWGYFs4oJ4tRRQUCTmZ</t>
  </si>
  <si>
    <t>SERRANO VARGAS STELLA</t>
  </si>
  <si>
    <t>1164-2024</t>
  </si>
  <si>
    <t>PLANILLA CORRECTA NUMERO 94780895527   EPS SANITAS $162500   PORVENIR $208000  SURA $31700, SE CAMBIAN HORA A 180,  REALIZA CAMBIOS EN EL LINK.</t>
  </si>
  <si>
    <t>URGENCIAS PEDIÁTRICAS - B05</t>
  </si>
  <si>
    <t>https://drive.google.com/open?id=1cHwBSe9_SITONhfClkCErPtXlaSF66HJ</t>
  </si>
  <si>
    <t>ACTIVIDADES</t>
  </si>
  <si>
    <t>FACTURA ELECTRONICA</t>
  </si>
  <si>
    <t>ENLACE</t>
  </si>
  <si>
    <t>NOMBRE DE ARCHIVO</t>
  </si>
  <si>
    <t>TIPO</t>
  </si>
  <si>
    <t>PLANILLA</t>
  </si>
  <si>
    <t>Noviembre_2024</t>
  </si>
  <si>
    <t>Diciembre_2024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</si>
</sst>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1"/>
      <color rgb="FF000000"/>
      <name val="Aptos Narrow"/>
      <family val="2"/>
    </font>
    <font>
      <sz val="10"/>
      <color rgb="FF000000"/>
      <name val="Aptos Narrow"/>
      <family val="2"/>
      <scheme val="minor"/>
    </font>
    <font>
      <b/>
      <i/>
      <sz val="10"/>
      <color rgb="FF000000"/>
      <name val="Aptos Narrow"/>
      <family val="2"/>
    </font>
    <font>
      <sz val="11"/>
      <color theme="1"/>
      <name val="Aptos Narrow"/>
      <family val="2"/>
    </font>
    <font>
      <u/>
      <sz val="10"/>
      <color rgb="FF0000FF"/>
      <name val="Roboto"/>
    </font>
    <font>
      <u/>
      <sz val="11"/>
      <color rgb="FF467886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11">
    <xf numFmtId="0" fontId="0" fillId="0" borderId="0" xfId="0"/>
    <xf numFmtId="0" fontId="2" fillId="0" borderId="1" xfId="0" applyFont="1" applyBorder="1"/>
    <xf numFmtId="0" fontId="4" fillId="2" borderId="1" xfId="2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6" fillId="0" borderId="1" xfId="0" applyFont="1" applyBorder="1" applyAlignment="1">
      <alignment vertical="center"/>
    </xf>
    <xf numFmtId="0" fontId="7" fillId="0" borderId="1" xfId="1" applyFont="1" applyFill="1" applyBorder="1" applyAlignment="1">
      <alignment vertical="center"/>
    </xf>
    <xf numFmtId="0" fontId="7" fillId="0" borderId="1" xfId="1" applyFont="1" applyFill="1" applyBorder="1"/>
    <xf numFmtId="0" fontId="1" fillId="0" borderId="1" xfId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</cellXfs>
  <cellStyles count="3">
    <cellStyle name="Hipervínculo" xfId="1" builtinId="8"/>
    <cellStyle name="Normal" xfId="0" builtinId="0"/>
    <cellStyle name="Normal 2" xfId="2" xr:uid="{214D2D05-1CAC-4725-81FC-2D7FC3E5D5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oRt5aWGZCnBDkDWGYFs4oJ4tRRQUCTmZ" TargetMode="External"/><Relationship Id="rId2" Type="http://schemas.openxmlformats.org/officeDocument/2006/relationships/hyperlink" Target="https://drive.google.com/open?id=1cLcqdML94qt-8X8dKOnN9waEm1ulrtsk" TargetMode="External"/><Relationship Id="rId1" Type="http://schemas.openxmlformats.org/officeDocument/2006/relationships/hyperlink" Target="https://drive.google.com/open?id=1xt0z8QFjwvtw8FZjnMWwX3eBhK6kg2-y" TargetMode="External"/><Relationship Id="rId4" Type="http://schemas.openxmlformats.org/officeDocument/2006/relationships/hyperlink" Target="https://drive.google.com/open?id=1cHwBSe9_SITONhfClkCErPtXlaSF66H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4B2E-B647-42F7-8BCF-824EDA0F5978}">
  <dimension ref="A1:S7"/>
  <sheetViews>
    <sheetView tabSelected="1" zoomScaleNormal="100" workbookViewId="0">
      <pane ySplit="1" topLeftCell="A2" activePane="bottomLeft" state="frozen"/>
      <selection pane="bottomLeft" activeCell="A8" sqref="A8:XFD5320"/>
    </sheetView>
  </sheetViews>
  <sheetFormatPr baseColWidth="10" defaultRowHeight="14.25"/>
  <cols>
    <col min="2" max="2" width="17.375" customWidth="1"/>
    <col min="3" max="3" width="33.625" customWidth="1"/>
    <col min="4" max="4" width="13.75" customWidth="1"/>
    <col min="5" max="5" width="15.625" customWidth="1"/>
    <col min="6" max="6" width="11" customWidth="1"/>
    <col min="8" max="17" width="11" customWidth="1"/>
    <col min="18" max="18" width="67.875" customWidth="1"/>
    <col min="19" max="19" width="51.875" customWidth="1"/>
  </cols>
  <sheetData>
    <row r="1" spans="1:19" ht="38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52</v>
      </c>
      <c r="R1" s="3" t="s">
        <v>50</v>
      </c>
      <c r="S1" s="9" t="s">
        <v>51</v>
      </c>
    </row>
    <row r="2" spans="1:19">
      <c r="A2" s="4">
        <v>366282</v>
      </c>
      <c r="B2" s="4" t="s">
        <v>54</v>
      </c>
      <c r="C2" s="4" t="s">
        <v>20</v>
      </c>
      <c r="D2" s="4">
        <v>52993492</v>
      </c>
      <c r="E2" s="4" t="s">
        <v>21</v>
      </c>
      <c r="F2" s="4" t="s">
        <v>21</v>
      </c>
      <c r="G2" s="4" t="s">
        <v>22</v>
      </c>
      <c r="H2" s="4">
        <v>23705952</v>
      </c>
      <c r="I2" s="4">
        <v>52770916</v>
      </c>
      <c r="J2" s="4" t="s">
        <v>23</v>
      </c>
      <c r="K2" s="4" t="s">
        <v>17</v>
      </c>
      <c r="L2" s="4" t="s">
        <v>18</v>
      </c>
      <c r="M2" s="4" t="s">
        <v>19</v>
      </c>
      <c r="N2" s="4" t="s">
        <v>24</v>
      </c>
      <c r="O2" s="4" t="s">
        <v>25</v>
      </c>
      <c r="P2" s="4" t="s">
        <v>26</v>
      </c>
      <c r="Q2" s="4" t="s">
        <v>53</v>
      </c>
      <c r="R2" s="8" t="s">
        <v>27</v>
      </c>
      <c r="S2" s="10" t="str">
        <f>_xlfn.CONCAT(Q2,"-",D2,"-",G2,"-",B2)</f>
        <v>PLANILLA-52993492-8066-2024-Noviembre_2024</v>
      </c>
    </row>
    <row r="3" spans="1:19">
      <c r="A3" s="4">
        <v>366283</v>
      </c>
      <c r="B3" s="4" t="s">
        <v>54</v>
      </c>
      <c r="C3" s="4" t="s">
        <v>29</v>
      </c>
      <c r="D3" s="4">
        <v>52778755</v>
      </c>
      <c r="E3" s="4" t="s">
        <v>21</v>
      </c>
      <c r="F3" s="4" t="s">
        <v>21</v>
      </c>
      <c r="G3" s="4" t="s">
        <v>30</v>
      </c>
      <c r="H3" s="4">
        <v>22079700</v>
      </c>
      <c r="I3" s="4">
        <v>52770916</v>
      </c>
      <c r="J3" s="4" t="s">
        <v>23</v>
      </c>
      <c r="K3" s="4" t="s">
        <v>17</v>
      </c>
      <c r="L3" s="4" t="s">
        <v>18</v>
      </c>
      <c r="M3" s="4" t="s">
        <v>19</v>
      </c>
      <c r="N3" s="4" t="s">
        <v>31</v>
      </c>
      <c r="O3" s="4" t="s">
        <v>25</v>
      </c>
      <c r="P3" s="4" t="s">
        <v>26</v>
      </c>
      <c r="Q3" s="4" t="s">
        <v>53</v>
      </c>
      <c r="R3" s="5" t="s">
        <v>32</v>
      </c>
      <c r="S3" s="10" t="str">
        <f t="shared" ref="S3" si="0">_xlfn.CONCAT(Q3,"-",D3,"-",G3,"-",B3)</f>
        <v>PLANILLA-52778755-8067-2024-Noviembre_2024</v>
      </c>
    </row>
    <row r="4" spans="1:19">
      <c r="A4" s="4">
        <v>366282</v>
      </c>
      <c r="B4" s="4" t="s">
        <v>54</v>
      </c>
      <c r="C4" s="4" t="s">
        <v>20</v>
      </c>
      <c r="D4" s="4">
        <v>52993492</v>
      </c>
      <c r="E4" s="4" t="s">
        <v>21</v>
      </c>
      <c r="F4" s="4" t="s">
        <v>21</v>
      </c>
      <c r="G4" s="4" t="s">
        <v>22</v>
      </c>
      <c r="H4" s="4">
        <v>23705952</v>
      </c>
      <c r="I4" s="4">
        <v>52770916</v>
      </c>
      <c r="J4" s="4" t="s">
        <v>23</v>
      </c>
      <c r="K4" s="4" t="s">
        <v>17</v>
      </c>
      <c r="L4" s="4" t="s">
        <v>18</v>
      </c>
      <c r="M4" s="4" t="s">
        <v>19</v>
      </c>
      <c r="N4" s="4" t="s">
        <v>24</v>
      </c>
      <c r="O4" s="4" t="s">
        <v>25</v>
      </c>
      <c r="P4" s="4" t="s">
        <v>26</v>
      </c>
      <c r="Q4" s="4" t="s">
        <v>48</v>
      </c>
      <c r="R4" s="8" t="s">
        <v>28</v>
      </c>
      <c r="S4" s="10" t="str">
        <f t="shared" ref="S4:S5" si="1">_xlfn.CONCAT(Q4,"-",D4,"-",G4,"-",B4)</f>
        <v>ACTIVIDADES-52993492-8066-2024-Noviembre_2024</v>
      </c>
    </row>
    <row r="5" spans="1:19">
      <c r="A5" s="4">
        <v>366283</v>
      </c>
      <c r="B5" s="4" t="s">
        <v>54</v>
      </c>
      <c r="C5" s="4" t="s">
        <v>29</v>
      </c>
      <c r="D5" s="4">
        <v>52778755</v>
      </c>
      <c r="E5" s="4" t="s">
        <v>21</v>
      </c>
      <c r="F5" s="4" t="s">
        <v>21</v>
      </c>
      <c r="G5" s="4" t="s">
        <v>30</v>
      </c>
      <c r="H5" s="4">
        <v>22079700</v>
      </c>
      <c r="I5" s="4">
        <v>52770916</v>
      </c>
      <c r="J5" s="4" t="s">
        <v>23</v>
      </c>
      <c r="K5" s="4" t="s">
        <v>17</v>
      </c>
      <c r="L5" s="4" t="s">
        <v>18</v>
      </c>
      <c r="M5" s="4" t="s">
        <v>19</v>
      </c>
      <c r="N5" s="4" t="s">
        <v>31</v>
      </c>
      <c r="O5" s="4" t="s">
        <v>25</v>
      </c>
      <c r="P5" s="4" t="s">
        <v>26</v>
      </c>
      <c r="Q5" s="4" t="s">
        <v>48</v>
      </c>
      <c r="R5" s="5" t="s">
        <v>33</v>
      </c>
      <c r="S5" s="10" t="str">
        <f t="shared" si="1"/>
        <v>ACTIVIDADES-52778755-8067-2024-Noviembre_2024</v>
      </c>
    </row>
    <row r="6" spans="1:19">
      <c r="A6" s="4">
        <v>365620</v>
      </c>
      <c r="B6" s="4" t="s">
        <v>55</v>
      </c>
      <c r="C6" s="4" t="s">
        <v>38</v>
      </c>
      <c r="D6" s="4">
        <v>52266438</v>
      </c>
      <c r="E6" s="4" t="s">
        <v>39</v>
      </c>
      <c r="F6" s="4" t="s">
        <v>39</v>
      </c>
      <c r="G6" s="4" t="s">
        <v>40</v>
      </c>
      <c r="H6" s="4">
        <v>11198280</v>
      </c>
      <c r="I6" s="4">
        <v>52770916</v>
      </c>
      <c r="J6" s="4" t="s">
        <v>23</v>
      </c>
      <c r="K6" s="4" t="s">
        <v>17</v>
      </c>
      <c r="L6" s="4" t="s">
        <v>18</v>
      </c>
      <c r="M6" s="4" t="s">
        <v>19</v>
      </c>
      <c r="N6" s="4" t="s">
        <v>16</v>
      </c>
      <c r="O6" s="4" t="s">
        <v>37</v>
      </c>
      <c r="P6" s="4" t="s">
        <v>41</v>
      </c>
      <c r="Q6" s="4" t="s">
        <v>49</v>
      </c>
      <c r="R6" s="6" t="s">
        <v>42</v>
      </c>
      <c r="S6" s="10" t="str">
        <f t="shared" ref="S6:S7" si="2">_xlfn.CONCAT(Q6,"-",D6,"-",G6,"-",B6)</f>
        <v>FACTURA ELECTRONICA-52266438-0494-2024-Diciembre_2024</v>
      </c>
    </row>
    <row r="7" spans="1:19">
      <c r="A7" s="4">
        <v>361687</v>
      </c>
      <c r="B7" s="4" t="s">
        <v>55</v>
      </c>
      <c r="C7" s="4" t="s">
        <v>43</v>
      </c>
      <c r="D7" s="4">
        <v>64568475</v>
      </c>
      <c r="E7" s="4" t="s">
        <v>35</v>
      </c>
      <c r="F7" s="4" t="s">
        <v>35</v>
      </c>
      <c r="G7" s="4" t="s">
        <v>44</v>
      </c>
      <c r="H7" s="4">
        <v>1890360</v>
      </c>
      <c r="I7" s="4">
        <v>1030565725</v>
      </c>
      <c r="J7" s="4" t="s">
        <v>36</v>
      </c>
      <c r="K7" s="4" t="s">
        <v>17</v>
      </c>
      <c r="L7" s="4" t="s">
        <v>18</v>
      </c>
      <c r="M7" s="4" t="s">
        <v>19</v>
      </c>
      <c r="N7" s="4" t="s">
        <v>45</v>
      </c>
      <c r="O7" s="4" t="s">
        <v>34</v>
      </c>
      <c r="P7" s="4" t="s">
        <v>46</v>
      </c>
      <c r="Q7" s="4" t="s">
        <v>49</v>
      </c>
      <c r="R7" s="7" t="s">
        <v>47</v>
      </c>
      <c r="S7" s="10" t="str">
        <f t="shared" si="2"/>
        <v>FACTURA ELECTRONICA-64568475-1164-2024-Diciembre_2024</v>
      </c>
    </row>
  </sheetData>
  <hyperlinks>
    <hyperlink ref="R2" r:id="rId1" xr:uid="{4A49B3AB-2289-4D25-A971-4BB8E648B541}"/>
    <hyperlink ref="R4" r:id="rId2" xr:uid="{1E37C448-E3CF-4C64-B729-FAE3ED433263}"/>
    <hyperlink ref="R6" r:id="rId3" xr:uid="{070DEEA7-AF94-4060-8C09-78E6F528F630}"/>
    <hyperlink ref="R7" r:id="rId4" xr:uid="{1D7BC52F-5A31-4CD3-9ECB-511212ECE0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Bonilla</dc:creator>
  <cp:lastModifiedBy>Daniel Alfaro Rojas</cp:lastModifiedBy>
  <dcterms:created xsi:type="dcterms:W3CDTF">2025-04-28T16:57:55Z</dcterms:created>
  <dcterms:modified xsi:type="dcterms:W3CDTF">2026-03-20T16:45:27Z</dcterms:modified>
</cp:coreProperties>
</file>